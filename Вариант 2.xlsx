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ent\S.ModernManagementMethods\"/>
    </mc:Choice>
  </mc:AlternateContent>
  <xr:revisionPtr revIDLastSave="0" documentId="13_ncr:1_{6EFE78D9-E6CD-42A4-9C8D-8F44714FDE86}" xr6:coauthVersionLast="47" xr6:coauthVersionMax="47" xr10:uidLastSave="{00000000-0000-0000-0000-000000000000}"/>
  <bookViews>
    <workbookView xWindow="28680" yWindow="-120" windowWidth="29040" windowHeight="15720" xr2:uid="{6BCD4A9E-8728-44F0-9D21-E57BC9E25D7F}"/>
  </bookViews>
  <sheets>
    <sheet name="Лист1" sheetId="1" r:id="rId1"/>
  </sheets>
  <definedNames>
    <definedName name="solver_adj" localSheetId="0" hidden="1">Лист1!$B$19:$H$19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Лист1!$B$33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Лист1!$B$34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B27" i="1"/>
  <c r="C26" i="1"/>
  <c r="D26" i="1"/>
  <c r="E26" i="1"/>
  <c r="F26" i="1"/>
  <c r="G26" i="1"/>
  <c r="H26" i="1"/>
  <c r="B26" i="1"/>
  <c r="C24" i="1"/>
  <c r="D24" i="1"/>
  <c r="E24" i="1"/>
  <c r="F24" i="1"/>
  <c r="G24" i="1"/>
  <c r="H24" i="1"/>
  <c r="B24" i="1"/>
  <c r="C23" i="1"/>
  <c r="D23" i="1"/>
  <c r="E23" i="1"/>
  <c r="F23" i="1"/>
  <c r="G23" i="1"/>
  <c r="H23" i="1"/>
  <c r="B23" i="1"/>
  <c r="C25" i="1"/>
  <c r="D25" i="1"/>
  <c r="E25" i="1"/>
  <c r="F25" i="1"/>
  <c r="G25" i="1"/>
  <c r="H25" i="1"/>
  <c r="B25" i="1"/>
  <c r="J19" i="1"/>
  <c r="B29" i="1" s="1"/>
  <c r="C20" i="1"/>
  <c r="C22" i="1" s="1"/>
  <c r="D20" i="1"/>
  <c r="D22" i="1" s="1"/>
  <c r="E20" i="1"/>
  <c r="E22" i="1" s="1"/>
  <c r="F20" i="1"/>
  <c r="F22" i="1" s="1"/>
  <c r="G20" i="1"/>
  <c r="G22" i="1" s="1"/>
  <c r="H20" i="1"/>
  <c r="H22" i="1" s="1"/>
  <c r="B20" i="1"/>
  <c r="B21" i="1" s="1"/>
  <c r="H21" i="1" l="1"/>
  <c r="G21" i="1"/>
  <c r="F21" i="1"/>
  <c r="E21" i="1"/>
  <c r="D21" i="1"/>
  <c r="C21" i="1"/>
  <c r="B22" i="1"/>
  <c r="J22" i="1" s="1"/>
  <c r="J25" i="1"/>
  <c r="B30" i="1" s="1"/>
  <c r="J26" i="1"/>
  <c r="B31" i="1" s="1"/>
  <c r="B34" i="1"/>
  <c r="J24" i="1"/>
  <c r="J23" i="1"/>
  <c r="J21" i="1" l="1"/>
  <c r="B33" i="1" s="1"/>
</calcChain>
</file>

<file path=xl/sharedStrings.xml><?xml version="1.0" encoding="utf-8"?>
<sst xmlns="http://schemas.openxmlformats.org/spreadsheetml/2006/main" count="42" uniqueCount="42">
  <si>
    <t>Технологический параметр, ед. изм.</t>
  </si>
  <si>
    <t>Доменные печи</t>
  </si>
  <si>
    <r>
      <t>Расход природного газа в базовом периоде,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</t>
    </r>
  </si>
  <si>
    <r>
      <t>Минимально допустимый расход природного газа,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</t>
    </r>
  </si>
  <si>
    <r>
      <t>Максимально допустимый расход природного газа,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</t>
    </r>
  </si>
  <si>
    <t>Расход кокса в базовом периоде, т/ч</t>
  </si>
  <si>
    <r>
      <t>Эквивалент замены кокса в базовом периоде, кг кокса /(м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 ПГ)</t>
    </r>
  </si>
  <si>
    <t>Производительность по чугуну в базовом периоде, т /ч</t>
  </si>
  <si>
    <t>Теоретическая температура горения в базовом периоде, °С</t>
  </si>
  <si>
    <t>Минимально допустимая теоретическая температура горения, °С</t>
  </si>
  <si>
    <t>Максимально допустимая теоретическая температура горения, °С</t>
  </si>
  <si>
    <t>Коэффициенты</t>
  </si>
  <si>
    <r>
      <t>Изменение производства чугуна при изменении ПГ, т чуг/(м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 ПГ)</t>
    </r>
  </si>
  <si>
    <t>Изменение производства чугуна при увеличении расхода кокса, т чуг/(кг кокса)</t>
  </si>
  <si>
    <r>
      <t>Изменение температуры горения при увеличении расхода ПГ на 1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/ч</t>
    </r>
  </si>
  <si>
    <t>Наименование показателя, ед. изм.</t>
  </si>
  <si>
    <t>Величина</t>
  </si>
  <si>
    <t>Стоимость кокса, руб/(кг кокса)</t>
  </si>
  <si>
    <t>Запасы кокса по цеху, т/ч</t>
  </si>
  <si>
    <t>Требуемое производство чугуна в цехе, т/ч</t>
  </si>
  <si>
    <t>Температура горения</t>
  </si>
  <si>
    <t>Минимальный раход газа соблюдается</t>
  </si>
  <si>
    <t>Максимальный расход газа соблюдается</t>
  </si>
  <si>
    <t>Оптимальный расход природного газа</t>
  </si>
  <si>
    <t>Результат</t>
  </si>
  <si>
    <t>общий расход газа</t>
  </si>
  <si>
    <t>условия по минимальному расходу выполняются</t>
  </si>
  <si>
    <t>условия по максимальному расходу выполняются</t>
  </si>
  <si>
    <r>
      <t>Стоимость природного газа, руб/(м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 ПГ)</t>
    </r>
  </si>
  <si>
    <r>
      <t>Резерв по расходу природного газа в целом по цеху, м</t>
    </r>
    <r>
      <rPr>
        <vertAlign val="super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 xml:space="preserve">/ч </t>
    </r>
  </si>
  <si>
    <t>Общий расход газа меньше резерва</t>
  </si>
  <si>
    <t>Расход кокса</t>
  </si>
  <si>
    <t>Производство чугуна</t>
  </si>
  <si>
    <t>общий расход кокса</t>
  </si>
  <si>
    <t>общее производство чугуна</t>
  </si>
  <si>
    <t>Общий расход кокса меньше резерва</t>
  </si>
  <si>
    <t>Достаточное производство чугуна</t>
  </si>
  <si>
    <t>Все условия выполнены</t>
  </si>
  <si>
    <t>Экономия от замены</t>
  </si>
  <si>
    <t>Общая экономия</t>
  </si>
  <si>
    <t>Минимальная температура горения соблюдается</t>
  </si>
  <si>
    <t>Максимальная температура горения соблюдается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</si>
</sst>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10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justify" vertical="center"/>
    </xf>
    <xf numFmtId="0" fontId="2" fillId="0" borderId="6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0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8" xfId="0" applyBorder="1"/>
    <xf numFmtId="0" fontId="0" fillId="2" borderId="9" xfId="0" applyFill="1" applyBorder="1"/>
    <xf numFmtId="0" fontId="0" fillId="0" borderId="10" xfId="0" applyBorder="1"/>
    <xf numFmtId="0" fontId="0" fillId="2" borderId="11" xfId="0" applyFill="1" applyBorder="1"/>
    <xf numFmtId="0" fontId="0" fillId="0" borderId="12" xfId="0" applyBorder="1"/>
    <xf numFmtId="0" fontId="0" fillId="2" borderId="13" xfId="0" applyFill="1" applyBorder="1"/>
    <xf numFmtId="0" fontId="0" fillId="0" borderId="14" xfId="0" applyBorder="1"/>
    <xf numFmtId="0" fontId="0" fillId="0" borderId="11" xfId="0" applyBorder="1"/>
    <xf numFmtId="0" fontId="0" fillId="0" borderId="13" xfId="0" applyBorder="1"/>
    <xf numFmtId="0" fontId="0" fillId="0" borderId="16" xfId="0" applyBorder="1"/>
    <xf numFmtId="0" fontId="0" fillId="2" borderId="10" xfId="0" applyFill="1" applyBorder="1"/>
    <xf numFmtId="0" fontId="0" fillId="2" borderId="12" xfId="0" applyFill="1" applyBorder="1"/>
    <xf numFmtId="0" fontId="0" fillId="2" borderId="14" xfId="0" applyFill="1" applyBorder="1"/>
    <xf numFmtId="0" fontId="0" fillId="3" borderId="9" xfId="0" applyFill="1" applyBorder="1"/>
    <xf numFmtId="0" fontId="2" fillId="3" borderId="15" xfId="0" applyFont="1" applyFill="1" applyBorder="1" applyAlignment="1">
      <alignment horizontal="right" vertical="center"/>
    </xf>
    <xf numFmtId="0" fontId="2" fillId="3" borderId="10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D6F7-A83E-4321-99B2-86DF589BF136}">
  <dimension ref="A1:L34"/>
  <sheetViews>
    <sheetView tabSelected="1" workbookViewId="0">
      <selection activeCell="D33" sqref="D33"/>
    </sheetView>
  </sheetViews>
  <sheetFormatPr defaultRowHeight="15" x14ac:dyDescent="0.25"/>
  <cols>
    <col min="1" max="1" width="47.140625" bestFit="1" customWidth="1"/>
    <col min="2" max="3" width="10.7109375" bestFit="1" customWidth="1"/>
    <col min="4" max="4" width="9.7109375" bestFit="1" customWidth="1"/>
    <col min="5" max="5" width="11.7109375" bestFit="1" customWidth="1"/>
    <col min="6" max="8" width="10.7109375" bestFit="1" customWidth="1"/>
    <col min="11" max="11" width="47.28515625" bestFit="1" customWidth="1"/>
    <col min="12" max="12" width="9.5703125" bestFit="1" customWidth="1"/>
  </cols>
  <sheetData>
    <row r="1" spans="1:12" ht="15.75" thickBot="1" x14ac:dyDescent="0.3">
      <c r="A1" s="27" t="s">
        <v>0</v>
      </c>
      <c r="B1" s="29" t="s">
        <v>1</v>
      </c>
      <c r="C1" s="30"/>
      <c r="D1" s="30"/>
      <c r="E1" s="30"/>
      <c r="F1" s="30"/>
      <c r="G1" s="30"/>
      <c r="H1" s="31"/>
      <c r="I1" s="10"/>
      <c r="J1" s="7"/>
      <c r="K1" s="8" t="s">
        <v>15</v>
      </c>
      <c r="L1" s="9" t="s">
        <v>16</v>
      </c>
    </row>
    <row r="2" spans="1:12" ht="15.75" thickBot="1" x14ac:dyDescent="0.3">
      <c r="A2" s="28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2"/>
      <c r="K2" s="3" t="s">
        <v>17</v>
      </c>
      <c r="L2" s="4">
        <v>1.8</v>
      </c>
    </row>
    <row r="3" spans="1:12" ht="33.75" thickBot="1" x14ac:dyDescent="0.3">
      <c r="A3" s="3" t="s">
        <v>2</v>
      </c>
      <c r="B3" s="4">
        <v>15000</v>
      </c>
      <c r="C3" s="4">
        <v>17000</v>
      </c>
      <c r="D3" s="4">
        <v>11000</v>
      </c>
      <c r="E3" s="4">
        <v>13000</v>
      </c>
      <c r="F3" s="4">
        <v>12000</v>
      </c>
      <c r="G3" s="4">
        <v>15000</v>
      </c>
      <c r="H3" s="4">
        <v>17000</v>
      </c>
      <c r="I3" s="2"/>
      <c r="K3" s="3" t="s">
        <v>28</v>
      </c>
      <c r="L3" s="4">
        <v>0.6</v>
      </c>
    </row>
    <row r="4" spans="1:12" ht="33.75" thickBot="1" x14ac:dyDescent="0.3">
      <c r="A4" s="3" t="s">
        <v>3</v>
      </c>
      <c r="B4" s="4">
        <v>10000</v>
      </c>
      <c r="C4" s="4">
        <v>10000</v>
      </c>
      <c r="D4" s="4">
        <v>10000</v>
      </c>
      <c r="E4" s="4">
        <v>10000</v>
      </c>
      <c r="F4" s="4">
        <v>10000</v>
      </c>
      <c r="G4" s="4">
        <v>10000</v>
      </c>
      <c r="H4" s="4">
        <v>10000</v>
      </c>
      <c r="I4" s="2"/>
      <c r="K4" s="3" t="s">
        <v>29</v>
      </c>
      <c r="L4" s="4">
        <v>115000</v>
      </c>
    </row>
    <row r="5" spans="1:12" ht="33.75" thickBot="1" x14ac:dyDescent="0.3">
      <c r="A5" s="3" t="s">
        <v>4</v>
      </c>
      <c r="B5" s="4">
        <v>20000</v>
      </c>
      <c r="C5" s="4">
        <v>20000</v>
      </c>
      <c r="D5" s="4">
        <v>20000</v>
      </c>
      <c r="E5" s="4">
        <v>20000</v>
      </c>
      <c r="F5" s="4">
        <v>20000</v>
      </c>
      <c r="G5" s="4">
        <v>20000</v>
      </c>
      <c r="H5" s="4">
        <v>20000</v>
      </c>
      <c r="I5" s="2"/>
      <c r="K5" s="3" t="s">
        <v>18</v>
      </c>
      <c r="L5" s="4">
        <v>450</v>
      </c>
    </row>
    <row r="6" spans="1:12" ht="15.75" thickBot="1" x14ac:dyDescent="0.3">
      <c r="A6" s="3" t="s">
        <v>5</v>
      </c>
      <c r="B6" s="4">
        <v>64.25</v>
      </c>
      <c r="C6" s="4">
        <v>66.760000000000005</v>
      </c>
      <c r="D6" s="4">
        <v>56.08</v>
      </c>
      <c r="E6" s="4">
        <v>49.78</v>
      </c>
      <c r="F6" s="4">
        <v>62.92</v>
      </c>
      <c r="G6" s="4">
        <v>60.02</v>
      </c>
      <c r="H6" s="4">
        <v>81.680000000000007</v>
      </c>
      <c r="I6" s="2"/>
      <c r="K6" s="3" t="s">
        <v>19</v>
      </c>
      <c r="L6" s="4">
        <v>1000</v>
      </c>
    </row>
    <row r="7" spans="1:12" ht="33.75" thickBot="1" x14ac:dyDescent="0.3">
      <c r="A7" s="3" t="s">
        <v>6</v>
      </c>
      <c r="B7" s="4">
        <v>0.59</v>
      </c>
      <c r="C7" s="4">
        <v>0.53</v>
      </c>
      <c r="D7" s="4">
        <v>0.85</v>
      </c>
      <c r="E7" s="4">
        <v>0.59</v>
      </c>
      <c r="F7" s="4">
        <v>0.75</v>
      </c>
      <c r="G7" s="4">
        <v>0.79</v>
      </c>
      <c r="H7" s="4">
        <v>0.87</v>
      </c>
      <c r="I7" s="2"/>
    </row>
    <row r="8" spans="1:12" ht="30.75" thickBot="1" x14ac:dyDescent="0.3">
      <c r="A8" s="3" t="s">
        <v>7</v>
      </c>
      <c r="B8" s="4">
        <v>146.4</v>
      </c>
      <c r="C8" s="4">
        <v>136.4</v>
      </c>
      <c r="D8" s="4">
        <v>134.30000000000001</v>
      </c>
      <c r="E8" s="4">
        <v>122.3</v>
      </c>
      <c r="F8" s="4">
        <v>138.19999999999999</v>
      </c>
      <c r="G8" s="4">
        <v>138.80000000000001</v>
      </c>
      <c r="H8" s="4">
        <v>191.4</v>
      </c>
      <c r="I8" s="2"/>
    </row>
    <row r="9" spans="1:12" ht="30.75" thickBot="1" x14ac:dyDescent="0.3">
      <c r="A9" s="3" t="s">
        <v>8</v>
      </c>
      <c r="B9" s="4">
        <v>1938</v>
      </c>
      <c r="C9" s="4">
        <v>1959</v>
      </c>
      <c r="D9" s="4">
        <v>2091</v>
      </c>
      <c r="E9" s="4">
        <v>1990</v>
      </c>
      <c r="F9" s="4">
        <v>1997</v>
      </c>
      <c r="G9" s="4">
        <v>1925</v>
      </c>
      <c r="H9" s="4">
        <v>1974</v>
      </c>
      <c r="I9" s="2"/>
    </row>
    <row r="10" spans="1:12" ht="30.75" thickBot="1" x14ac:dyDescent="0.3">
      <c r="A10" s="3" t="s">
        <v>9</v>
      </c>
      <c r="B10" s="4">
        <v>1900</v>
      </c>
      <c r="C10" s="4">
        <v>1900</v>
      </c>
      <c r="D10" s="4">
        <v>1900</v>
      </c>
      <c r="E10" s="4">
        <v>1900</v>
      </c>
      <c r="F10" s="4">
        <v>1900</v>
      </c>
      <c r="G10" s="4">
        <v>1900</v>
      </c>
      <c r="H10" s="4">
        <v>1900</v>
      </c>
      <c r="I10" s="2"/>
    </row>
    <row r="11" spans="1:12" ht="30.75" thickBot="1" x14ac:dyDescent="0.3">
      <c r="A11" s="3" t="s">
        <v>10</v>
      </c>
      <c r="B11" s="4">
        <v>2100</v>
      </c>
      <c r="C11" s="4">
        <v>2100</v>
      </c>
      <c r="D11" s="4">
        <v>2100</v>
      </c>
      <c r="E11" s="4">
        <v>2100</v>
      </c>
      <c r="F11" s="4">
        <v>2100</v>
      </c>
      <c r="G11" s="4">
        <v>2100</v>
      </c>
      <c r="H11" s="4">
        <v>2100</v>
      </c>
      <c r="I11" s="2"/>
    </row>
    <row r="12" spans="1:12" ht="15.75" thickBot="1" x14ac:dyDescent="0.3">
      <c r="A12" s="5" t="s">
        <v>11</v>
      </c>
      <c r="B12" s="6"/>
      <c r="C12" s="6"/>
      <c r="D12" s="6"/>
      <c r="E12" s="6"/>
      <c r="F12" s="6"/>
      <c r="G12" s="6"/>
      <c r="H12" s="6"/>
      <c r="I12" s="2"/>
    </row>
    <row r="13" spans="1:12" ht="33.75" thickBot="1" x14ac:dyDescent="0.3">
      <c r="A13" s="3" t="s">
        <v>12</v>
      </c>
      <c r="B13" s="4">
        <v>-7.2950000000000001E-4</v>
      </c>
      <c r="C13" s="4">
        <v>-6.6949999999999996E-4</v>
      </c>
      <c r="D13" s="4">
        <v>0</v>
      </c>
      <c r="E13" s="4">
        <v>-7.2373000000000001E-4</v>
      </c>
      <c r="F13" s="4">
        <v>-7.7240000000000002E-4</v>
      </c>
      <c r="G13" s="4">
        <v>-6.8720000000000001E-4</v>
      </c>
      <c r="H13" s="4">
        <v>-7.2840000000000003E-4</v>
      </c>
      <c r="I13" s="2"/>
    </row>
    <row r="14" spans="1:12" ht="45.75" thickBot="1" x14ac:dyDescent="0.3">
      <c r="A14" s="3" t="s">
        <v>13</v>
      </c>
      <c r="B14" s="4">
        <v>-2.97E-3</v>
      </c>
      <c r="C14" s="4">
        <v>-2.97E-3</v>
      </c>
      <c r="D14" s="4">
        <v>-2.928E-3</v>
      </c>
      <c r="E14" s="4">
        <v>-2.8969999999999998E-3</v>
      </c>
      <c r="F14" s="4">
        <v>-2.97E-3</v>
      </c>
      <c r="G14" s="4">
        <v>-2.97E-3</v>
      </c>
      <c r="H14" s="4">
        <v>-3.3159999999999999E-3</v>
      </c>
      <c r="I14" s="2"/>
    </row>
    <row r="15" spans="1:12" ht="33.75" thickBot="1" x14ac:dyDescent="0.3">
      <c r="A15" s="3" t="s">
        <v>14</v>
      </c>
      <c r="B15" s="4">
        <v>-2.6499999999999999E-2</v>
      </c>
      <c r="C15" s="4">
        <v>-3.56E-2</v>
      </c>
      <c r="D15" s="4">
        <v>-3.7999999999999999E-2</v>
      </c>
      <c r="E15" s="4">
        <v>-3.3399999999999999E-2</v>
      </c>
      <c r="F15" s="4">
        <v>-2.9839999999999998E-2</v>
      </c>
      <c r="G15" s="4">
        <v>-3.1399999999999997E-2</v>
      </c>
      <c r="H15" s="4">
        <v>-2.23E-2</v>
      </c>
      <c r="I15" s="2"/>
    </row>
    <row r="17" spans="1:11" ht="15.75" thickBot="1" x14ac:dyDescent="0.3"/>
    <row r="18" spans="1:11" ht="15.75" thickBot="1" x14ac:dyDescent="0.3">
      <c r="J18" s="12" t="s">
        <v>24</v>
      </c>
      <c r="K18" s="13"/>
    </row>
    <row r="19" spans="1:11" x14ac:dyDescent="0.25">
      <c r="A19" s="24" t="s">
        <v>23</v>
      </c>
      <c r="B19" s="25">
        <v>16433.962263058402</v>
      </c>
      <c r="C19" s="25">
        <v>18098.959141736384</v>
      </c>
      <c r="D19" s="25">
        <v>13887.096055028713</v>
      </c>
      <c r="E19" s="25">
        <v>14434.234841890708</v>
      </c>
      <c r="F19" s="25">
        <v>14328.30325227765</v>
      </c>
      <c r="G19" s="25">
        <v>15796.172581042061</v>
      </c>
      <c r="H19" s="26">
        <v>19998.854652586309</v>
      </c>
      <c r="J19" s="14">
        <f>SUM(B19:H19)</f>
        <v>112977.58278762022</v>
      </c>
      <c r="K19" s="15" t="s">
        <v>25</v>
      </c>
    </row>
    <row r="20" spans="1:11" x14ac:dyDescent="0.25">
      <c r="A20" s="18" t="s">
        <v>20</v>
      </c>
      <c r="B20" s="11">
        <f>B9+B15*(B19-B3)</f>
        <v>1900.0000000289524</v>
      </c>
      <c r="C20" s="11">
        <f t="shared" ref="C20:H20" si="0">C9+C15*(C19-C3)</f>
        <v>1919.8770545541847</v>
      </c>
      <c r="D20" s="11">
        <f t="shared" si="0"/>
        <v>1981.2903499089089</v>
      </c>
      <c r="E20" s="11">
        <f t="shared" si="0"/>
        <v>1942.0965562808503</v>
      </c>
      <c r="F20" s="11">
        <f t="shared" si="0"/>
        <v>1927.5234309520349</v>
      </c>
      <c r="G20" s="11">
        <f t="shared" si="0"/>
        <v>1900.0001809552793</v>
      </c>
      <c r="H20" s="15">
        <f t="shared" si="0"/>
        <v>1907.1255412473254</v>
      </c>
      <c r="J20" s="14"/>
      <c r="K20" s="15"/>
    </row>
    <row r="21" spans="1:11" x14ac:dyDescent="0.25">
      <c r="A21" s="18" t="s">
        <v>40</v>
      </c>
      <c r="B21" s="11" t="b">
        <f>B20&gt;=B10</f>
        <v>1</v>
      </c>
      <c r="C21" s="11" t="b">
        <f t="shared" ref="C21:H21" si="1">C20&gt;=C10</f>
        <v>1</v>
      </c>
      <c r="D21" s="11" t="b">
        <f t="shared" si="1"/>
        <v>1</v>
      </c>
      <c r="E21" s="11" t="b">
        <f t="shared" si="1"/>
        <v>1</v>
      </c>
      <c r="F21" s="11" t="b">
        <f t="shared" si="1"/>
        <v>1</v>
      </c>
      <c r="G21" s="11" t="b">
        <f t="shared" si="1"/>
        <v>1</v>
      </c>
      <c r="H21" s="11" t="b">
        <f t="shared" si="1"/>
        <v>1</v>
      </c>
      <c r="J21" s="14" t="b">
        <f>AND(B21:H21)</f>
        <v>1</v>
      </c>
      <c r="K21" s="15"/>
    </row>
    <row r="22" spans="1:11" x14ac:dyDescent="0.25">
      <c r="A22" s="18" t="s">
        <v>41</v>
      </c>
      <c r="B22" s="11" t="b">
        <f>B20&lt;B11</f>
        <v>1</v>
      </c>
      <c r="C22" s="11" t="b">
        <f t="shared" ref="C22:H22" si="2">C20&lt;C11</f>
        <v>1</v>
      </c>
      <c r="D22" s="11" t="b">
        <f t="shared" si="2"/>
        <v>1</v>
      </c>
      <c r="E22" s="11" t="b">
        <f t="shared" si="2"/>
        <v>1</v>
      </c>
      <c r="F22" s="11" t="b">
        <f t="shared" si="2"/>
        <v>1</v>
      </c>
      <c r="G22" s="11" t="b">
        <f t="shared" si="2"/>
        <v>1</v>
      </c>
      <c r="H22" s="11" t="b">
        <f t="shared" si="2"/>
        <v>1</v>
      </c>
      <c r="J22" s="14" t="b">
        <f>AND(B22:H22)</f>
        <v>1</v>
      </c>
      <c r="K22" s="15"/>
    </row>
    <row r="23" spans="1:11" x14ac:dyDescent="0.25">
      <c r="A23" s="18" t="s">
        <v>21</v>
      </c>
      <c r="B23" s="11" t="b">
        <f>B19&gt;=B4</f>
        <v>1</v>
      </c>
      <c r="C23" s="11" t="b">
        <f t="shared" ref="C23:H23" si="3">C19&gt;=C4</f>
        <v>1</v>
      </c>
      <c r="D23" s="11" t="b">
        <f t="shared" si="3"/>
        <v>1</v>
      </c>
      <c r="E23" s="11" t="b">
        <f t="shared" si="3"/>
        <v>1</v>
      </c>
      <c r="F23" s="11" t="b">
        <f t="shared" si="3"/>
        <v>1</v>
      </c>
      <c r="G23" s="11" t="b">
        <f t="shared" si="3"/>
        <v>1</v>
      </c>
      <c r="H23" s="15" t="b">
        <f t="shared" si="3"/>
        <v>1</v>
      </c>
      <c r="J23" s="14" t="b">
        <f>AND(B23:H23)</f>
        <v>1</v>
      </c>
      <c r="K23" s="15" t="s">
        <v>26</v>
      </c>
    </row>
    <row r="24" spans="1:11" x14ac:dyDescent="0.25">
      <c r="A24" s="18" t="s">
        <v>22</v>
      </c>
      <c r="B24" s="11" t="b">
        <f>B19&lt;=B5</f>
        <v>1</v>
      </c>
      <c r="C24" s="11" t="b">
        <f t="shared" ref="C24:H24" si="4">C19&lt;=C5</f>
        <v>1</v>
      </c>
      <c r="D24" s="11" t="b">
        <f t="shared" si="4"/>
        <v>1</v>
      </c>
      <c r="E24" s="11" t="b">
        <f t="shared" si="4"/>
        <v>1</v>
      </c>
      <c r="F24" s="11" t="b">
        <f t="shared" si="4"/>
        <v>1</v>
      </c>
      <c r="G24" s="11" t="b">
        <f t="shared" si="4"/>
        <v>1</v>
      </c>
      <c r="H24" s="15" t="b">
        <f t="shared" si="4"/>
        <v>1</v>
      </c>
      <c r="J24" s="14" t="b">
        <f>AND(B24:H24)</f>
        <v>1</v>
      </c>
      <c r="K24" s="15" t="s">
        <v>27</v>
      </c>
    </row>
    <row r="25" spans="1:11" x14ac:dyDescent="0.25">
      <c r="A25" s="18" t="s">
        <v>31</v>
      </c>
      <c r="B25" s="11">
        <f>B6+0.001*(B3-B19)*B7</f>
        <v>63.403962264795545</v>
      </c>
      <c r="C25" s="11">
        <f t="shared" ref="C25:H25" si="5">C6+0.001*(C3-C19)*C7</f>
        <v>66.177551654879721</v>
      </c>
      <c r="D25" s="11">
        <f t="shared" si="5"/>
        <v>53.625968353225595</v>
      </c>
      <c r="E25" s="11">
        <f t="shared" si="5"/>
        <v>48.93380144328448</v>
      </c>
      <c r="F25" s="11">
        <f t="shared" si="5"/>
        <v>61.173772560791761</v>
      </c>
      <c r="G25" s="11">
        <f t="shared" si="5"/>
        <v>59.391023660976778</v>
      </c>
      <c r="H25" s="15">
        <f t="shared" si="5"/>
        <v>79.070996452249915</v>
      </c>
      <c r="J25" s="14">
        <f>SUM(B25:H25)</f>
        <v>431.77707639020377</v>
      </c>
      <c r="K25" s="15" t="s">
        <v>33</v>
      </c>
    </row>
    <row r="26" spans="1:11" ht="15.75" thickBot="1" x14ac:dyDescent="0.3">
      <c r="A26" s="18" t="s">
        <v>32</v>
      </c>
      <c r="B26" s="11">
        <f>B8+(B19-B3)*B13-(B19-B3)*B7*B14</f>
        <v>147.86665660265612</v>
      </c>
      <c r="C26" s="11">
        <f t="shared" ref="C26:H26" si="6">C8+(C19-C3)*C13-(C19-C3)*C7*C14</f>
        <v>137.39411843961472</v>
      </c>
      <c r="D26" s="11">
        <f t="shared" si="6"/>
        <v>141.48540466175547</v>
      </c>
      <c r="E26" s="11">
        <f t="shared" si="6"/>
        <v>123.71343843668329</v>
      </c>
      <c r="F26" s="11">
        <f t="shared" si="6"/>
        <v>141.58791406238922</v>
      </c>
      <c r="G26" s="11">
        <f t="shared" si="6"/>
        <v>140.12092992920691</v>
      </c>
      <c r="H26" s="15">
        <f t="shared" si="6"/>
        <v>197.86709003539542</v>
      </c>
      <c r="J26" s="16">
        <f>SUM(B26:H26)</f>
        <v>1030.0355521677011</v>
      </c>
      <c r="K26" s="17" t="s">
        <v>34</v>
      </c>
    </row>
    <row r="27" spans="1:11" ht="15.75" thickBot="1" x14ac:dyDescent="0.3">
      <c r="A27" s="19" t="s">
        <v>38</v>
      </c>
      <c r="B27" s="20">
        <f>(B7*$L$2-$L$3)*B19</f>
        <v>7592.4905655329831</v>
      </c>
      <c r="C27" s="20">
        <f t="shared" ref="C27:H27" si="7">(C7*$L$2-$L$3)*C19</f>
        <v>6407.0315361746816</v>
      </c>
      <c r="D27" s="20">
        <f t="shared" si="7"/>
        <v>12914.999331176703</v>
      </c>
      <c r="E27" s="20">
        <f t="shared" si="7"/>
        <v>6668.6164969535084</v>
      </c>
      <c r="F27" s="20">
        <f t="shared" si="7"/>
        <v>10746.22743920824</v>
      </c>
      <c r="G27" s="20">
        <f t="shared" si="7"/>
        <v>12984.453861616577</v>
      </c>
      <c r="H27" s="17">
        <f t="shared" si="7"/>
        <v>19318.893594398378</v>
      </c>
    </row>
    <row r="28" spans="1:11" ht="15.75" thickBot="1" x14ac:dyDescent="0.3"/>
    <row r="29" spans="1:11" x14ac:dyDescent="0.25">
      <c r="A29" s="12" t="s">
        <v>30</v>
      </c>
      <c r="B29" s="21" t="b">
        <f>J19&lt;L4</f>
        <v>1</v>
      </c>
    </row>
    <row r="30" spans="1:11" x14ac:dyDescent="0.25">
      <c r="A30" s="14" t="s">
        <v>35</v>
      </c>
      <c r="B30" s="22" t="b">
        <f>J25&lt;L5</f>
        <v>1</v>
      </c>
    </row>
    <row r="31" spans="1:11" ht="15.75" thickBot="1" x14ac:dyDescent="0.3">
      <c r="A31" s="16" t="s">
        <v>36</v>
      </c>
      <c r="B31" s="23" t="b">
        <f>J26&gt;=L6</f>
        <v>1</v>
      </c>
    </row>
    <row r="32" spans="1:11" ht="15.75" thickBot="1" x14ac:dyDescent="0.3"/>
    <row r="33" spans="1:2" x14ac:dyDescent="0.25">
      <c r="A33" s="12" t="s">
        <v>37</v>
      </c>
      <c r="B33" s="21">
        <f>IF(AND(B29,B30,B31,J23,J24,J22,J21),1,0)</f>
        <v>1</v>
      </c>
    </row>
    <row r="34" spans="1:2" ht="15.75" thickBot="1" x14ac:dyDescent="0.3">
      <c r="A34" s="16" t="s">
        <v>39</v>
      </c>
      <c r="B34" s="23">
        <f>SUM(B27:H27)</f>
        <v>76632.712825061069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Коротков Юрий Артемович</dc:creator>
  <cp:lastModifiedBy>Коротков Юрий Артемович</cp:lastModifiedBy>
  <dcterms:created xsi:type="dcterms:W3CDTF">2026-04-09T12:40:21Z</dcterms:created>
  <dcterms:modified xsi:type="dcterms:W3CDTF">2026-04-09T13:39:20Z</dcterms:modified>
</cp:coreProperties>
</file>